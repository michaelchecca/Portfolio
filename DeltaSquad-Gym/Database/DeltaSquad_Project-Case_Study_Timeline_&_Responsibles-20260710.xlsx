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" sheetId="1" state="visible" r:id="rId3"/>
    <sheet name="Responsibiliti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<sst xmlns="http://schemas.openxmlformats.org/spreadsheetml/2006/main" count="68" uniqueCount="39">
  <si>
    <t xml:space="preserve">DBAS27198 - 1265_33418 - Database Design and Implementation</t>
  </si>
  <si>
    <t xml:space="preserve">Project:</t>
  </si>
  <si>
    <t xml:space="preserve">Case Study</t>
  </si>
  <si>
    <t xml:space="preserve">Task</t>
  </si>
  <si>
    <t xml:space="preserve">Start</t>
  </si>
  <si>
    <t xml:space="preserve">End</t>
  </si>
  <si>
    <t xml:space="preserve">Duration</t>
  </si>
  <si>
    <t xml:space="preserve">Responsible</t>
  </si>
  <si>
    <t xml:space="preserve">Introductory Message</t>
  </si>
  <si>
    <t xml:space="preserve">Michael</t>
  </si>
  <si>
    <t xml:space="preserve">Preliminary Project Timeline</t>
  </si>
  <si>
    <t xml:space="preserve">Confirm Timeline Dates &amp; Tasks</t>
  </si>
  <si>
    <t xml:space="preserve">Team</t>
  </si>
  <si>
    <t xml:space="preserve">Designate Primary &amp; Secondary Responsibilities</t>
  </si>
  <si>
    <t xml:space="preserve">Conceptual EER Diagram – Draft</t>
  </si>
  <si>
    <t xml:space="preserve">Conceptual EER Diagram – Review &amp; Update</t>
  </si>
  <si>
    <t xml:space="preserve">Quinn</t>
  </si>
  <si>
    <t xml:space="preserve">Data Structure Diagram – Draft</t>
  </si>
  <si>
    <t xml:space="preserve">Project Midway Check Point</t>
  </si>
  <si>
    <t xml:space="preserve">Data Structure Diagram – Review &amp; Update</t>
  </si>
  <si>
    <t xml:space="preserve">Mitchell</t>
  </si>
  <si>
    <t xml:space="preserve">AWS &amp; DB Infrastructure Setup </t>
  </si>
  <si>
    <t xml:space="preserve">Database Implementation – Draft</t>
  </si>
  <si>
    <t xml:space="preserve">Gagandeep</t>
  </si>
  <si>
    <t xml:space="preserve">Database Implementation – Review &amp; Finalise</t>
  </si>
  <si>
    <t xml:space="preserve">Sai Krishna</t>
  </si>
  <si>
    <t xml:space="preserve">Data Insertion</t>
  </si>
  <si>
    <t xml:space="preserve">Gloria</t>
  </si>
  <si>
    <t xml:space="preserve">SQL Query – Development</t>
  </si>
  <si>
    <t xml:space="preserve">SQL Query – Review &amp; Update</t>
  </si>
  <si>
    <t xml:space="preserve">Project Submission Package – Draft</t>
  </si>
  <si>
    <t xml:space="preserve">Project Submission Package – Review &amp; Tweak</t>
  </si>
  <si>
    <t xml:space="preserve">Final Project Review</t>
  </si>
  <si>
    <t xml:space="preserve">S. #</t>
  </si>
  <si>
    <t xml:space="preserve">Student Name</t>
  </si>
  <si>
    <t xml:space="preserve">Student ID</t>
  </si>
  <si>
    <r>
      <rPr>
        <b val="true"/>
        <sz val="12"/>
        <rFont val="Calibri"/>
        <family val="2"/>
        <charset val="1"/>
      </rPr>
      <t xml:space="preserve">1</t>
    </r>
    <r>
      <rPr>
        <b val="true"/>
        <vertAlign val="superscript"/>
        <sz val="12"/>
        <rFont val="Calibri"/>
        <family val="2"/>
        <charset val="1"/>
      </rPr>
      <t xml:space="preserve">st</t>
    </r>
    <r>
      <rPr>
        <b val="true"/>
        <sz val="12"/>
        <rFont val="Calibri"/>
        <family val="2"/>
        <charset val="1"/>
      </rPr>
      <t xml:space="preserve"> Responsibility</t>
    </r>
  </si>
  <si>
    <r>
      <rPr>
        <b val="true"/>
        <sz val="12"/>
        <rFont val="Calibri"/>
        <family val="2"/>
        <charset val="1"/>
      </rPr>
      <t xml:space="preserve">2</t>
    </r>
    <r>
      <rPr>
        <b val="true"/>
        <vertAlign val="superscript"/>
        <sz val="12"/>
        <rFont val="Calibri"/>
        <family val="2"/>
        <charset val="1"/>
      </rPr>
      <t xml:space="preserve">nd</t>
    </r>
    <r>
      <rPr>
        <b val="true"/>
        <sz val="12"/>
        <rFont val="Calibri"/>
        <family val="2"/>
        <charset val="1"/>
      </rPr>
      <t xml:space="preserve"> Responsibility</t>
    </r>
  </si>
  <si>
    <t xml:space="preserve">Work Completed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</si>
</sst>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&quot;. &quot;mmm&quot;. &quot;yyyy"/>
    <numFmt numFmtId="166" formatCode="ddd&quot;, &quot;mmm\ d&quot;, &quot;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Calibri"/>
      <family val="2"/>
      <charset val="1"/>
    </font>
    <font>
      <b val="true"/>
      <vertAlign val="superscript"/>
      <sz val="12"/>
      <name val="Calibri"/>
      <family val="2"/>
      <charset val="1"/>
    </font>
    <font>
      <sz val="12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AFD095"/>
        <bgColor rgb="FFB4C7DC"/>
      </patternFill>
    </fill>
    <fill>
      <patternFill patternType="solid">
        <fgColor rgb="FF00A933"/>
        <bgColor rgb="FF008000"/>
      </patternFill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4.72"/>
    <col collapsed="false" customWidth="true" hidden="false" outlineLevel="0" max="3" min="2" style="1" width="16.89"/>
    <col collapsed="false" customWidth="true" hidden="false" outlineLevel="0" max="4" min="4" style="1" width="13.4"/>
    <col collapsed="false" customWidth="true" hidden="false" outlineLevel="0" max="5" min="5" style="1" width="14.93"/>
    <col collapsed="false" customWidth="true" hidden="false" outlineLevel="0" max="34" min="6" style="1" width="3.66"/>
  </cols>
  <sheetData>
    <row r="1" customFormat="false" ht="79.1" hidden="false" customHeight="true" outlineLevel="0" collapsed="false">
      <c r="A1" s="2" t="s">
        <v>0</v>
      </c>
      <c r="B1" s="2"/>
      <c r="C1" s="2"/>
      <c r="D1" s="3" t="s">
        <v>1</v>
      </c>
      <c r="E1" s="4" t="s">
        <v>2</v>
      </c>
      <c r="F1" s="5" t="n">
        <v>46213</v>
      </c>
      <c r="G1" s="5" t="n">
        <v>46214</v>
      </c>
      <c r="H1" s="5" t="n">
        <v>46215</v>
      </c>
      <c r="I1" s="5" t="n">
        <v>46216</v>
      </c>
      <c r="J1" s="5" t="n">
        <v>46217</v>
      </c>
      <c r="K1" s="5" t="n">
        <v>46218</v>
      </c>
      <c r="L1" s="5" t="n">
        <v>46219</v>
      </c>
      <c r="M1" s="5" t="n">
        <v>46220</v>
      </c>
      <c r="N1" s="5" t="n">
        <v>46221</v>
      </c>
      <c r="O1" s="5" t="n">
        <v>46222</v>
      </c>
      <c r="P1" s="5" t="n">
        <v>46223</v>
      </c>
      <c r="Q1" s="5" t="n">
        <v>46224</v>
      </c>
      <c r="R1" s="5" t="n">
        <v>46225</v>
      </c>
      <c r="S1" s="5" t="n">
        <v>46226</v>
      </c>
      <c r="T1" s="5" t="n">
        <v>46227</v>
      </c>
      <c r="U1" s="5" t="n">
        <v>46228</v>
      </c>
      <c r="V1" s="5" t="n">
        <v>46229</v>
      </c>
      <c r="W1" s="5" t="n">
        <v>46230</v>
      </c>
      <c r="X1" s="5" t="n">
        <v>46231</v>
      </c>
      <c r="Y1" s="5" t="n">
        <v>46232</v>
      </c>
      <c r="Z1" s="5" t="n">
        <v>46233</v>
      </c>
      <c r="AA1" s="5" t="n">
        <v>46234</v>
      </c>
      <c r="AB1" s="5" t="n">
        <v>46235</v>
      </c>
      <c r="AC1" s="5" t="n">
        <v>46236</v>
      </c>
      <c r="AD1" s="5" t="n">
        <v>46237</v>
      </c>
      <c r="AE1" s="5" t="n">
        <v>46238</v>
      </c>
      <c r="AF1" s="5" t="n">
        <v>46239</v>
      </c>
      <c r="AG1" s="5" t="n">
        <v>46240</v>
      </c>
      <c r="AH1" s="5" t="n">
        <v>46241</v>
      </c>
    </row>
    <row r="2" customFormat="false" ht="13.8" hidden="false" customHeight="false" outlineLevel="0" collapsed="false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customFormat="false" ht="13.8" hidden="false" customHeight="false" outlineLevel="0" collapsed="false">
      <c r="A3" s="8" t="s">
        <v>8</v>
      </c>
      <c r="B3" s="9" t="n">
        <v>46213</v>
      </c>
      <c r="C3" s="9" t="n">
        <f aca="false">B3+D3-1</f>
        <v>46213</v>
      </c>
      <c r="D3" s="8" t="n">
        <v>1</v>
      </c>
      <c r="E3" s="8" t="s">
        <v>9</v>
      </c>
      <c r="F3" s="1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customFormat="false" ht="13.8" hidden="false" customHeight="false" outlineLevel="0" collapsed="false">
      <c r="A4" s="8" t="s">
        <v>10</v>
      </c>
      <c r="B4" s="9" t="n">
        <f aca="false">C3+1</f>
        <v>46214</v>
      </c>
      <c r="C4" s="9" t="n">
        <f aca="false">B4+D4-1</f>
        <v>46214</v>
      </c>
      <c r="D4" s="8" t="n">
        <v>1</v>
      </c>
      <c r="E4" s="8" t="s">
        <v>9</v>
      </c>
      <c r="F4" s="7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customFormat="false" ht="13.8" hidden="false" customHeight="false" outlineLevel="0" collapsed="false">
      <c r="A5" s="8" t="s">
        <v>11</v>
      </c>
      <c r="B5" s="9" t="n">
        <f aca="false">C3+1</f>
        <v>46214</v>
      </c>
      <c r="C5" s="9" t="n">
        <f aca="false">B5+D5-1</f>
        <v>46216</v>
      </c>
      <c r="D5" s="8" t="n">
        <v>3</v>
      </c>
      <c r="E5" s="8" t="s">
        <v>12</v>
      </c>
      <c r="F5" s="7"/>
      <c r="G5" s="11"/>
      <c r="H5" s="11"/>
      <c r="I5" s="1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customFormat="false" ht="13.8" hidden="false" customHeight="false" outlineLevel="0" collapsed="false">
      <c r="A6" s="8" t="s">
        <v>13</v>
      </c>
      <c r="B6" s="9" t="n">
        <f aca="false">C5</f>
        <v>46216</v>
      </c>
      <c r="C6" s="9" t="n">
        <f aca="false">B6+D6-1</f>
        <v>46216</v>
      </c>
      <c r="D6" s="8" t="n">
        <v>1</v>
      </c>
      <c r="E6" s="8" t="s">
        <v>12</v>
      </c>
      <c r="F6" s="7"/>
      <c r="G6" s="7"/>
      <c r="H6" s="7"/>
      <c r="I6" s="1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customFormat="false" ht="13.8" hidden="false" customHeight="false" outlineLevel="0" collapsed="false">
      <c r="A7" s="8" t="s">
        <v>14</v>
      </c>
      <c r="B7" s="9" t="n">
        <f aca="false">C6+1</f>
        <v>46217</v>
      </c>
      <c r="C7" s="9" t="n">
        <f aca="false">B7+D7-1</f>
        <v>46219</v>
      </c>
      <c r="D7" s="8" t="n">
        <v>3</v>
      </c>
      <c r="E7" s="8" t="s">
        <v>9</v>
      </c>
      <c r="F7" s="7"/>
      <c r="G7" s="7"/>
      <c r="H7" s="7"/>
      <c r="I7" s="7"/>
      <c r="J7" s="11"/>
      <c r="K7" s="11"/>
      <c r="L7" s="1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customFormat="false" ht="13.8" hidden="false" customHeight="false" outlineLevel="0" collapsed="false">
      <c r="A8" s="8" t="s">
        <v>15</v>
      </c>
      <c r="B8" s="9" t="n">
        <f aca="false">C7+1</f>
        <v>46220</v>
      </c>
      <c r="C8" s="9" t="n">
        <f aca="false">B8+D8-1</f>
        <v>46221</v>
      </c>
      <c r="D8" s="8" t="n">
        <v>2</v>
      </c>
      <c r="E8" s="8" t="s">
        <v>16</v>
      </c>
      <c r="F8" s="7"/>
      <c r="G8" s="7"/>
      <c r="H8" s="7"/>
      <c r="I8" s="7"/>
      <c r="J8" s="7"/>
      <c r="K8" s="7"/>
      <c r="L8" s="7"/>
      <c r="M8" s="11"/>
      <c r="N8" s="11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customFormat="false" ht="13.8" hidden="false" customHeight="false" outlineLevel="0" collapsed="false">
      <c r="A9" s="8" t="s">
        <v>17</v>
      </c>
      <c r="B9" s="9" t="n">
        <f aca="false">C8+1</f>
        <v>46222</v>
      </c>
      <c r="C9" s="9" t="n">
        <f aca="false">B9+D9-1</f>
        <v>46225</v>
      </c>
      <c r="D9" s="8" t="n">
        <v>4</v>
      </c>
      <c r="E9" s="8" t="s">
        <v>16</v>
      </c>
      <c r="F9" s="7"/>
      <c r="G9" s="7"/>
      <c r="H9" s="7"/>
      <c r="I9" s="7"/>
      <c r="J9" s="7"/>
      <c r="K9" s="7"/>
      <c r="L9" s="7"/>
      <c r="M9" s="7"/>
      <c r="N9" s="7"/>
      <c r="O9" s="11"/>
      <c r="P9" s="11"/>
      <c r="Q9" s="11"/>
      <c r="R9" s="11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customFormat="false" ht="13.8" hidden="false" customHeight="false" outlineLevel="0" collapsed="false">
      <c r="A10" s="12" t="s">
        <v>18</v>
      </c>
      <c r="B10" s="13" t="n">
        <v>46224</v>
      </c>
      <c r="C10" s="13" t="n">
        <v>46224</v>
      </c>
      <c r="D10" s="12" t="n">
        <v>1</v>
      </c>
      <c r="E10" s="12" t="s">
        <v>12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4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customFormat="false" ht="14.15" hidden="false" customHeight="false" outlineLevel="0" collapsed="false">
      <c r="A11" s="8" t="s">
        <v>19</v>
      </c>
      <c r="B11" s="9" t="n">
        <f aca="false">C9</f>
        <v>46225</v>
      </c>
      <c r="C11" s="9" t="n">
        <f aca="false">B11+D11-1</f>
        <v>46227</v>
      </c>
      <c r="D11" s="8" t="n">
        <v>3</v>
      </c>
      <c r="E11" s="8" t="s">
        <v>20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1"/>
      <c r="S11" s="11"/>
      <c r="T11" s="1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customFormat="false" ht="14.15" hidden="false" customHeight="false" outlineLevel="0" collapsed="false">
      <c r="A12" s="12" t="s">
        <v>21</v>
      </c>
      <c r="B12" s="13" t="n">
        <f aca="false">+C12-6</f>
        <v>46221</v>
      </c>
      <c r="C12" s="13" t="n">
        <f aca="false">+C11</f>
        <v>46227</v>
      </c>
      <c r="D12" s="12" t="n">
        <v>4</v>
      </c>
      <c r="E12" s="12" t="s">
        <v>20</v>
      </c>
      <c r="F12" s="7"/>
      <c r="G12" s="7"/>
      <c r="H12" s="7"/>
      <c r="I12" s="7"/>
      <c r="J12" s="7"/>
      <c r="K12" s="7"/>
      <c r="L12" s="7"/>
      <c r="M12" s="7"/>
      <c r="N12" s="7"/>
      <c r="O12" s="14"/>
      <c r="P12" s="14"/>
      <c r="Q12" s="14"/>
      <c r="R12" s="7"/>
      <c r="S12" s="7"/>
      <c r="T12" s="14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customFormat="false" ht="13.8" hidden="false" customHeight="false" outlineLevel="0" collapsed="false">
      <c r="A13" s="8" t="s">
        <v>22</v>
      </c>
      <c r="B13" s="9" t="n">
        <f aca="false">C11+1</f>
        <v>46228</v>
      </c>
      <c r="C13" s="9" t="n">
        <f aca="false">B13+D13-1</f>
        <v>46229</v>
      </c>
      <c r="D13" s="8" t="n">
        <v>2</v>
      </c>
      <c r="E13" s="8" t="s">
        <v>23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11"/>
      <c r="V13" s="11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customFormat="false" ht="13.8" hidden="false" customHeight="false" outlineLevel="0" collapsed="false">
      <c r="A14" s="8" t="s">
        <v>24</v>
      </c>
      <c r="B14" s="9" t="n">
        <f aca="false">C13+1</f>
        <v>46230</v>
      </c>
      <c r="C14" s="9" t="n">
        <f aca="false">B14+D14-1</f>
        <v>46230</v>
      </c>
      <c r="D14" s="8" t="n">
        <v>1</v>
      </c>
      <c r="E14" s="8" t="s">
        <v>25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11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customFormat="false" ht="13.8" hidden="false" customHeight="false" outlineLevel="0" collapsed="false">
      <c r="A15" s="8" t="s">
        <v>26</v>
      </c>
      <c r="B15" s="9" t="n">
        <f aca="false">C14+1</f>
        <v>46231</v>
      </c>
      <c r="C15" s="9" t="n">
        <f aca="false">B15+D15-1</f>
        <v>46231</v>
      </c>
      <c r="D15" s="8" t="n">
        <v>1</v>
      </c>
      <c r="E15" s="8" t="s">
        <v>27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11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customFormat="false" ht="13.8" hidden="false" customHeight="false" outlineLevel="0" collapsed="false">
      <c r="A16" s="8" t="s">
        <v>28</v>
      </c>
      <c r="B16" s="9" t="n">
        <f aca="false">C15+1</f>
        <v>46232</v>
      </c>
      <c r="C16" s="9" t="n">
        <f aca="false">B16+D16-1</f>
        <v>46232</v>
      </c>
      <c r="D16" s="8" t="n">
        <v>1</v>
      </c>
      <c r="E16" s="8" t="s">
        <v>23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11"/>
      <c r="Z16" s="7"/>
      <c r="AA16" s="7"/>
      <c r="AB16" s="7"/>
      <c r="AC16" s="7"/>
      <c r="AD16" s="7"/>
      <c r="AE16" s="7"/>
      <c r="AF16" s="7"/>
      <c r="AG16" s="7"/>
      <c r="AH16" s="7"/>
    </row>
    <row r="17" customFormat="false" ht="13.8" hidden="false" customHeight="false" outlineLevel="0" collapsed="false">
      <c r="A17" s="8" t="s">
        <v>29</v>
      </c>
      <c r="B17" s="9" t="n">
        <f aca="false">C16+1</f>
        <v>46233</v>
      </c>
      <c r="C17" s="9" t="n">
        <f aca="false">B17+D17-1</f>
        <v>46233</v>
      </c>
      <c r="D17" s="8" t="n">
        <v>1</v>
      </c>
      <c r="E17" s="8" t="s">
        <v>27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11"/>
      <c r="AA17" s="7"/>
      <c r="AB17" s="7"/>
      <c r="AC17" s="7"/>
      <c r="AD17" s="7"/>
      <c r="AE17" s="7"/>
      <c r="AF17" s="7"/>
      <c r="AG17" s="7"/>
      <c r="AH17" s="7"/>
    </row>
    <row r="18" customFormat="false" ht="13.8" hidden="false" customHeight="false" outlineLevel="0" collapsed="false">
      <c r="A18" s="8" t="s">
        <v>30</v>
      </c>
      <c r="B18" s="9" t="n">
        <f aca="false">C17+1</f>
        <v>46234</v>
      </c>
      <c r="C18" s="9" t="n">
        <f aca="false">B18+D18-1</f>
        <v>46235</v>
      </c>
      <c r="D18" s="8" t="n">
        <v>2</v>
      </c>
      <c r="E18" s="8" t="s">
        <v>25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1"/>
      <c r="AB18" s="11"/>
      <c r="AC18" s="7"/>
      <c r="AD18" s="7"/>
      <c r="AE18" s="7"/>
      <c r="AF18" s="7"/>
      <c r="AG18" s="7"/>
      <c r="AH18" s="7"/>
    </row>
    <row r="19" customFormat="false" ht="13.8" hidden="false" customHeight="false" outlineLevel="0" collapsed="false">
      <c r="A19" s="8" t="s">
        <v>31</v>
      </c>
      <c r="B19" s="9" t="n">
        <f aca="false">C18+1</f>
        <v>46236</v>
      </c>
      <c r="C19" s="9" t="n">
        <f aca="false">B19+D19-1</f>
        <v>46237</v>
      </c>
      <c r="D19" s="8" t="n">
        <v>2</v>
      </c>
      <c r="E19" s="8" t="s">
        <v>9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11"/>
      <c r="AD19" s="11"/>
      <c r="AE19" s="7"/>
      <c r="AF19" s="7"/>
      <c r="AG19" s="7"/>
      <c r="AH19" s="7"/>
    </row>
    <row r="20" customFormat="false" ht="13.8" hidden="false" customHeight="false" outlineLevel="0" collapsed="false">
      <c r="A20" s="12" t="s">
        <v>32</v>
      </c>
      <c r="B20" s="13" t="n">
        <f aca="false">C19+1</f>
        <v>46238</v>
      </c>
      <c r="C20" s="13" t="n">
        <v>46241</v>
      </c>
      <c r="D20" s="12" t="n">
        <f aca="false">C20-B20+1</f>
        <v>4</v>
      </c>
      <c r="E20" s="12" t="s">
        <v>12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14"/>
      <c r="AF20" s="14"/>
      <c r="AG20" s="14"/>
      <c r="AH20" s="14"/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4.25"/>
    <col collapsed="false" customWidth="true" hidden="true" outlineLevel="0" max="3" min="3" style="1" width="20.45"/>
    <col collapsed="false" customWidth="true" hidden="false" outlineLevel="0" max="4" min="4" style="1" width="46.47"/>
    <col collapsed="false" customWidth="true" hidden="false" outlineLevel="0" max="5" min="5" style="1" width="51.05"/>
    <col collapsed="false" customWidth="true" hidden="false" outlineLevel="0" max="6" min="6" style="1" width="20.45"/>
    <col collapsed="false" customWidth="true" hidden="false" outlineLevel="0" max="8" min="8" style="1" width="40.67"/>
    <col collapsed="false" customWidth="true" hidden="false" outlineLevel="0" max="9" min="9" style="1" width="10.89"/>
  </cols>
  <sheetData>
    <row r="1" customFormat="false" ht="17.9" hidden="false" customHeight="false" outlineLevel="0" collapsed="false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 t="s">
        <v>38</v>
      </c>
    </row>
    <row r="2" customFormat="false" ht="17.9" hidden="false" customHeight="false" outlineLevel="0" collapsed="false">
      <c r="A2" s="16" t="n">
        <v>1</v>
      </c>
      <c r="B2" s="16" t="s">
        <v>20</v>
      </c>
      <c r="C2" s="16" t="n">
        <v>991033735</v>
      </c>
      <c r="D2" s="16" t="s">
        <v>19</v>
      </c>
      <c r="E2" s="16" t="s">
        <v>21</v>
      </c>
      <c r="F2" s="16"/>
    </row>
    <row r="3" customFormat="false" ht="17.9" hidden="false" customHeight="false" outlineLevel="0" collapsed="false">
      <c r="A3" s="16" t="n">
        <v>2</v>
      </c>
      <c r="B3" s="16" t="s">
        <v>9</v>
      </c>
      <c r="C3" s="16" t="n">
        <v>991860679</v>
      </c>
      <c r="D3" s="16" t="s">
        <v>14</v>
      </c>
      <c r="E3" s="16" t="s">
        <v>31</v>
      </c>
      <c r="F3" s="16"/>
    </row>
    <row r="4" customFormat="false" ht="17.9" hidden="false" customHeight="false" outlineLevel="0" collapsed="false">
      <c r="A4" s="16" t="n">
        <v>3</v>
      </c>
      <c r="B4" s="16" t="s">
        <v>27</v>
      </c>
      <c r="C4" s="16" t="n">
        <v>991840144</v>
      </c>
      <c r="D4" s="16" t="s">
        <v>26</v>
      </c>
      <c r="E4" s="16" t="s">
        <v>29</v>
      </c>
      <c r="F4" s="16"/>
    </row>
    <row r="5" customFormat="false" ht="17.9" hidden="false" customHeight="false" outlineLevel="0" collapsed="false">
      <c r="A5" s="16" t="n">
        <v>4</v>
      </c>
      <c r="B5" s="16" t="s">
        <v>25</v>
      </c>
      <c r="C5" s="16" t="n">
        <v>991823191</v>
      </c>
      <c r="D5" s="16" t="s">
        <v>30</v>
      </c>
      <c r="E5" s="16" t="s">
        <v>24</v>
      </c>
      <c r="F5" s="16"/>
    </row>
    <row r="6" customFormat="false" ht="17.9" hidden="false" customHeight="false" outlineLevel="0" collapsed="false">
      <c r="A6" s="16" t="n">
        <v>5</v>
      </c>
      <c r="B6" s="16" t="s">
        <v>23</v>
      </c>
      <c r="C6" s="16" t="n">
        <v>991850039</v>
      </c>
      <c r="D6" s="16" t="s">
        <v>22</v>
      </c>
      <c r="E6" s="16" t="s">
        <v>28</v>
      </c>
      <c r="F6" s="16"/>
    </row>
    <row r="7" customFormat="false" ht="17.9" hidden="false" customHeight="false" outlineLevel="0" collapsed="false">
      <c r="A7" s="16" t="n">
        <v>6</v>
      </c>
      <c r="B7" s="16" t="s">
        <v>16</v>
      </c>
      <c r="C7" s="16" t="n">
        <v>991857752</v>
      </c>
      <c r="D7" s="16" t="s">
        <v>17</v>
      </c>
      <c r="E7" s="16" t="s">
        <v>15</v>
      </c>
      <c r="F7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2026-07-10T21:49:48Z</dcterms:created>
  <dc:creator/>
  <dc:description/>
  <dc:language>en-CA</dc:language>
  <cp:lastModifiedBy/>
  <dcterms:modified xsi:type="dcterms:W3CDTF">2026-09-10T22:15:03Z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